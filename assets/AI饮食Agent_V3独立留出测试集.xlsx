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16b4efc92247b4" /></Relationships>
</file>

<file path=xl/workbook.xml><?xml version="1.0" encoding="utf-8"?>
<x:workbook xmlns:x="http://schemas.openxmlformats.org/spreadsheetml/2006/main">
  <x:sheets>
    <x:sheet xmlns:r="http://schemas.openxmlformats.org/officeDocument/2006/relationships" name="V3独立测评集" sheetId="1" r:id="R9b371e5393364a0e"/>
    <x:sheet xmlns:r="http://schemas.openxmlformats.org/officeDocument/2006/relationships" name="Coze执行Prompt" sheetId="2" r:id="Ree64b9e28a5842e8"/>
    <x:sheet xmlns:r="http://schemas.openxmlformats.org/officeDocument/2006/relationships" name="测试说明" sheetId="3" r:id="Rbc508b9a4a22424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sz val="10"/>
      <x:color rgb="FF1F2937"/>
      <x:name val="Arial"/>
    </x:font>
    <x:font>
      <x:b/>
      <x:sz val="15"/>
      <x:color rgb="FF17365D"/>
      <x:name val="Arial"/>
    </x:font>
    <x:font>
      <x:i/>
      <x:sz val="10"/>
      <x:color rgb="FF666666"/>
      <x:name val="Arial"/>
    </x:font>
    <x:font>
      <x:b/>
      <x:sz val="10"/>
      <x:color rgb="FFFFFFFF"/>
      <x:name val="Arial"/>
    </x:font>
    <x:font>
      <x:b/>
      <x:sz val="10"/>
      <x:color rgb="FF17365D"/>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3" borderId="0"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1" fillId="0" borderId="1" xfId="0" applyNumberFormat="1" applyFont="1" applyFill="1" applyBorder="1"/>
    <x:xf numFmtId="200" fontId="1" fillId="0" borderId="1" xfId="0" applyNumberFormat="1" applyFont="1" applyFill="1" applyBorder="1"/>
    <x:xf numFmtId="0" fontId="4" fillId="2" borderId="1" xfId="0" applyNumberFormat="1" applyFont="1" applyFill="1" applyBorder="1"/>
    <x:xf numFmtId="0" fontId="1"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032f738ca440fd" /><Relationship Type="http://schemas.openxmlformats.org/officeDocument/2006/relationships/theme" Target="/xl/theme/theme1.xml" Id="R01ba8cfaf0104dd4" /><Relationship Type="http://schemas.openxmlformats.org/officeDocument/2006/relationships/sharedStrings" Target="/xl/sharedStrings.xml" Id="R671239597281410e" /><Relationship Type="http://schemas.openxmlformats.org/officeDocument/2006/relationships/worksheet" Target="/xl/worksheets/sheet1.xml" Id="R9b371e5393364a0e" /><Relationship Type="http://schemas.openxmlformats.org/officeDocument/2006/relationships/worksheet" Target="/xl/worksheets/sheet2.xml" Id="Ree64b9e28a5842e8" /><Relationship Type="http://schemas.openxmlformats.org/officeDocument/2006/relationships/worksheet" Target="/xl/worksheets/sheet3.xml" Id="Rbc508b9a4a22424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8" hidden="0" customWidth="1"/>
    <x:col min="3" max="3" width="38" hidden="0" customWidth="1"/>
    <x:col min="4" max="4" width="28" hidden="0" customWidth="1"/>
    <x:col min="5" max="5" width="48" hidden="0" customWidth="1"/>
    <x:col min="6" max="6" width="42" hidden="0" customWidth="1"/>
    <x:col min="7" max="7" width="24" hidden="0" customWidth="1"/>
    <x:col min="8" max="8" width="12" hidden="0" customWidth="1"/>
    <x:col min="9" max="9" width="12" hidden="0" customWidth="1"/>
    <x:col min="10" max="10" width="30" hidden="0" customWidth="1"/>
  </x:cols>
  <x:sheetData>
    <x:row r="1">
      <x:c r="A1" s="2" t="str">
        <x:v>AI 饮食营养管理 Agent｜V3 独立留出测试集</x:v>
      </x:c>
      <x:c r="B1" s="1"/>
      <x:c r="C1" s="1"/>
      <x:c r="D1" s="1"/>
      <x:c r="E1" s="1"/>
      <x:c r="F1" s="1"/>
      <x:c r="G1" s="1"/>
      <x:c r="H1" s="1"/>
      <x:c r="I1" s="1"/>
      <x:c r="J1" s="1"/>
    </x:row>
    <x:row r="2">
      <x:c r="A2" s="3" t="str">
        <x:v>全新样本；仅供最终验收。每条 case 必须使用独立会话，禁止用本集调优。</x:v>
      </x:c>
      <x:c r="B2" s="1"/>
      <x:c r="C2" s="1"/>
      <x:c r="D2" s="1"/>
      <x:c r="E2" s="1"/>
      <x:c r="F2" s="1"/>
      <x:c r="G2" s="1"/>
      <x:c r="H2" s="1"/>
      <x:c r="I2" s="1"/>
      <x:c r="J2" s="1"/>
    </x:row>
    <x:row r="3">
      <x:c r="A3" s="1"/>
      <x:c r="B3" s="1"/>
      <x:c r="C3" s="1"/>
      <x:c r="D3" s="1"/>
      <x:c r="E3" s="1"/>
      <x:c r="F3" s="1"/>
      <x:c r="G3" s="1"/>
      <x:c r="H3" s="1"/>
      <x:c r="I3" s="1"/>
      <x:c r="J3" s="1"/>
    </x:row>
    <x:row r="4">
      <x:c r="A4" s="7" t="str">
        <x:v>case_id</x:v>
      </x:c>
      <x:c r="B4" s="7" t="str">
        <x:v>category</x:v>
      </x:c>
      <x:c r="C4" s="7" t="str">
        <x:v>user_input / turns</x:v>
      </x:c>
      <x:c r="D4" s="7" t="str">
        <x:v>expected_tools</x:v>
      </x:c>
      <x:c r="E4" s="7" t="str">
        <x:v>expected_behavior</x:v>
      </x:c>
      <x:c r="F4" s="7" t="str">
        <x:v>actual_response</x:v>
      </x:c>
      <x:c r="G4" s="7" t="str">
        <x:v>actual_tools</x:v>
      </x:c>
      <x:c r="H4" s="7" t="str">
        <x:v>strict_pass</x:v>
      </x:c>
      <x:c r="I4" s="7" t="str">
        <x:v>partial_pass</x:v>
      </x:c>
      <x:c r="J4" s="7" t="str">
        <x:v>failure_reason</x:v>
      </x:c>
    </x:row>
    <x:row r="5" ht="42" customHeight="1">
      <x:c r="A5" s="1" t="str">
        <x:v>V3_001</x:v>
      </x:c>
      <x:c r="B5" s="1" t="str">
        <x:v>明确份量与多食物</x:v>
      </x:c>
      <x:c r="C5" s="8" t="str">
        <x:v>早餐吃了180克全麦面包、120克无糖酸奶和60克蓝莓。</x:v>
      </x:c>
      <x:c r="D5" s="8" t="str">
        <x:v>diet_nutrition_agent; save_meal_record</x:v>
      </x:c>
      <x:c r="E5" s="8" t="str">
        <x:v>分别解析三种食物并计算；一次保存；返回同一 request_id。</x:v>
      </x:c>
      <x:c r="F5" s="8"/>
      <x:c r="G5" s="1"/>
      <x:c r="H5" s="1"/>
      <x:c r="I5" s="1"/>
      <x:c r="J5" s="1"/>
    </x:row>
    <x:row r="6" ht="42" customHeight="1">
      <x:c r="A6" s="1" t="str">
        <x:v>V3_002</x:v>
      </x:c>
      <x:c r="B6" s="1" t="str">
        <x:v>笼统量词阻断</x:v>
      </x:c>
      <x:c r="C6" s="8" t="str">
        <x:v>晚餐吃了一份扬州炒饭。</x:v>
      </x:c>
      <x:c r="D6" s="8" t="str">
        <x:v>diet_nutrition_agent</x:v>
      </x:c>
      <x:c r="E6" s="8" t="str">
        <x:v>一份属于模糊量词；只追问克数，不输出热量/营养数字，不保存。</x:v>
      </x:c>
      <x:c r="F6" s="8"/>
      <x:c r="G6" s="1"/>
      <x:c r="H6" s="1"/>
      <x:c r="I6" s="1"/>
      <x:c r="J6" s="1"/>
    </x:row>
    <x:row r="7" ht="42" customHeight="1">
      <x:c r="A7" s="1" t="str">
        <x:v>V3_003</x:v>
      </x:c>
      <x:c r="B7" s="1" t="str">
        <x:v>生活化份量估算</x:v>
      </x:c>
      <x:c r="C7" s="8" t="str">
        <x:v>午饭吃了一碗杂粮饭，普通碗装到七成满。</x:v>
      </x:c>
      <x:c r="D7" s="8" t="str">
        <x:v>diet_nutrition_agent; save_meal_record</x:v>
      </x:c>
      <x:c r="E7" s="8" t="str">
        <x:v>将生活化描述作为 portion_desc 估算；说明为估算值后保存。</x:v>
      </x:c>
      <x:c r="F7" s="8"/>
      <x:c r="G7" s="1"/>
      <x:c r="H7" s="1"/>
      <x:c r="I7" s="1"/>
      <x:c r="J7" s="1"/>
    </x:row>
    <x:row r="8" ht="42" customHeight="1">
      <x:c r="A8" s="1" t="str">
        <x:v>V3_004</x:v>
      </x:c>
      <x:c r="B8" s="1" t="str">
        <x:v>未知份量二级澄清</x:v>
      </x:c>
      <x:c r="C8" s="8" t="str">
        <x:v>下午吃了一根玉米，没称过，不知道多重。</x:v>
      </x:c>
      <x:c r="D8" s="8" t="str">
        <x:v>diet_nutrition_agent</x:v>
      </x:c>
      <x:c r="E8" s="8" t="str">
        <x:v>进入二级澄清，询问玉米大小或长度；当前轮不输出热量，不保存。</x:v>
      </x:c>
      <x:c r="F8" s="8"/>
      <x:c r="G8" s="1"/>
      <x:c r="H8" s="1"/>
      <x:c r="I8" s="1"/>
      <x:c r="J8" s="1"/>
    </x:row>
    <x:row r="9" ht="42" customHeight="1">
      <x:c r="A9" s="1" t="str">
        <x:v>V3_005</x:v>
      </x:c>
      <x:c r="B9" s="1" t="str">
        <x:v>默认估算确认</x:v>
      </x:c>
      <x:c r="C9" s="8" t="str">
        <x:v>大概是中等大小，但我还是不确定，你按普通份量算吧。</x:v>
      </x:c>
      <x:c r="D9" s="8" t="str">
        <x:v>diet_nutrition_agent; save_meal_record</x:v>
      </x:c>
      <x:c r="E9" s="8" t="str">
        <x:v>使用默认份量计算并保存；明确说明估算克数和可能存在的误差。</x:v>
      </x:c>
      <x:c r="F9" s="8"/>
      <x:c r="G9" s="1"/>
      <x:c r="H9" s="1"/>
      <x:c r="I9" s="1"/>
      <x:c r="J9" s="1"/>
    </x:row>
    <x:row r="10" ht="42" customHeight="1">
      <x:c r="A10" s="1" t="str">
        <x:v>V3_006</x:v>
      </x:c>
      <x:c r="B10" s="1" t="str">
        <x:v>相对日期一致性</x:v>
      </x:c>
      <x:c r="C10" s="8" t="str">
        <x:v>两天前晚餐吃了160克清蒸鱼和90克南瓜。</x:v>
      </x:c>
      <x:c r="D10" s="8" t="str">
        <x:v>diet_nutrition_agent; save_meal_record</x:v>
      </x:c>
      <x:c r="E10" s="8" t="str">
        <x:v>计算端和落库端使用同一个具体日期；不能保存到当天；日期一致。</x:v>
      </x:c>
      <x:c r="F10" s="8"/>
      <x:c r="G10" s="1"/>
      <x:c r="H10" s="1"/>
      <x:c r="I10" s="1"/>
      <x:c r="J10" s="1"/>
    </x:row>
    <x:row r="11" ht="42" customHeight="1">
      <x:c r="A11" s="1" t="str">
        <x:v>V3_007</x:v>
      </x:c>
      <x:c r="B11" s="1" t="str">
        <x:v>上个月今天日期</x:v>
      </x:c>
      <x:c r="C11" s="8" t="str">
        <x:v>上个月的今天早餐吃了200克玉米粥。</x:v>
      </x:c>
      <x:c r="D11" s="8" t="str">
        <x:v>diet_nutrition_agent; save_meal_record</x:v>
      </x:c>
      <x:c r="E11" s="8" t="str">
        <x:v>正确识别为上个月同日，不能被“今天”子串截断为当天；计算和落库日期一致。</x:v>
      </x:c>
      <x:c r="F11" s="8"/>
      <x:c r="G11" s="1"/>
      <x:c r="H11" s="1"/>
      <x:c r="I11" s="1"/>
      <x:c r="J11" s="1"/>
    </x:row>
    <x:row r="12" ht="42" customHeight="1">
      <x:c r="A12" s="1" t="str">
        <x:v>V3_008</x:v>
      </x:c>
      <x:c r="B12" s="1" t="str">
        <x:v>虚指日期阻断</x:v>
      </x:c>
      <x:c r="C12" s="8" t="str">
        <x:v>有一天晚上吃了250克红薯，帮我记下来。</x:v>
      </x:c>
      <x:c r="D12" s="8" t="str">
        <x:v>diet_nutrition_agent</x:v>
      </x:c>
      <x:c r="E12" s="8" t="str">
        <x:v>“有一天”无法确定具体日期；返回日期缺失并追问，不能臆测或保存。</x:v>
      </x:c>
      <x:c r="F12" s="8"/>
      <x:c r="G12" s="1"/>
      <x:c r="H12" s="1"/>
      <x:c r="I12" s="1"/>
      <x:c r="J12" s="1"/>
    </x:row>
    <x:row r="13" ht="42" customHeight="1">
      <x:c r="A13" s="1" t="str">
        <x:v>V3_009</x:v>
      </x:c>
      <x:c r="B13" s="1" t="str">
        <x:v>过敏建档</x:v>
      </x:c>
      <x:c r="C13" s="8" t="str">
        <x:v>我对牛奶过敏，请记住。</x:v>
      </x:c>
      <x:c r="D13" s="8" t="str">
        <x:v>save_user_profile</x:v>
      </x:c>
      <x:c r="E13" s="8" t="str">
        <x:v>保存 allergens；成功后确认档案已更新。</x:v>
      </x:c>
      <x:c r="F13" s="8"/>
      <x:c r="G13" s="1"/>
      <x:c r="H13" s="1"/>
      <x:c r="I13" s="1"/>
      <x:c r="J13" s="1"/>
    </x:row>
    <x:row r="14" ht="42" customHeight="1">
      <x:c r="A14" s="1" t="str">
        <x:v>V3_010</x:v>
      </x:c>
      <x:c r="B14" s="1" t="str">
        <x:v>过敏拦截多轮</x:v>
      </x:c>
      <x:c r="C14" s="8" t="str">
        <x:v>我对牛奶过敏，请记住。
随后：我刚喝了200毫升牛奶。</x:v>
      </x:c>
      <x:c r="D14" s="8" t="str">
        <x:v>save_user_profile; diet_nutrition_agent</x:v>
      </x:c>
      <x:c r="E14" s="8" t="str">
        <x:v>读取已保存过敏档案，优先发出牛奶过敏警告；不得直接确认保存。</x:v>
      </x:c>
      <x:c r="F14" s="8"/>
      <x:c r="G14" s="1"/>
      <x:c r="H14" s="1"/>
      <x:c r="I14" s="1"/>
      <x:c r="J14" s="1"/>
    </x:row>
    <x:row r="15" ht="42" customHeight="1">
      <x:c r="A15" s="1" t="str">
        <x:v>V3_011</x:v>
      </x:c>
      <x:c r="B15" s="1" t="str">
        <x:v>明确不过敏不误拦</x:v>
      </x:c>
      <x:c r="C15" s="8" t="str">
        <x:v>我没有花生过敏，今天吃了30克花生。</x:v>
      </x:c>
      <x:c r="D15" s="8" t="str">
        <x:v>diet_nutrition_agent; save_meal_record</x:v>
      </x:c>
      <x:c r="E15" s="8" t="str">
        <x:v>不能仅因食物属于常见过敏原就拦截；应正常计算并保存。</x:v>
      </x:c>
      <x:c r="F15" s="8"/>
      <x:c r="G15" s="1"/>
      <x:c r="H15" s="1"/>
      <x:c r="I15" s="1"/>
      <x:c r="J15" s="1"/>
    </x:row>
    <x:row r="16" ht="42" customHeight="1">
      <x:c r="A16" s="1" t="str">
        <x:v>V3_012</x:v>
      </x:c>
      <x:c r="B16" s="1" t="str">
        <x:v>过敏类别边界</x:v>
      </x:c>
      <x:c r="C16" s="8" t="str">
        <x:v>我只对蟹过敏，午餐吃了120克虾仁。</x:v>
      </x:c>
      <x:c r="D16" s="8" t="str">
        <x:v>diet_nutrition_agent; save_meal_record</x:v>
      </x:c>
      <x:c r="E16" s="8" t="str">
        <x:v>不能把蟹自动泛化为虾；应按当前档案和明确表述判断，不误拦虾仁。</x:v>
      </x:c>
      <x:c r="F16" s="8"/>
      <x:c r="G16" s="1"/>
      <x:c r="H16" s="1"/>
      <x:c r="I16" s="1"/>
      <x:c r="J16" s="1"/>
    </x:row>
    <x:row r="17" ht="42" customHeight="1">
      <x:c r="A17" s="1" t="str">
        <x:v>V3_013</x:v>
      </x:c>
      <x:c r="B17" s="1" t="str">
        <x:v>拒绝默认估算</x:v>
      </x:c>
      <x:c r="C17" s="8" t="str">
        <x:v>我吃了一块蛋糕，但没称，也不想按普通份量估算。</x:v>
      </x:c>
      <x:c r="D17" s="8" t="str">
        <x:v>diet_nutrition_agent</x:v>
      </x:c>
      <x:c r="E17" s="8" t="str">
        <x:v>只说明需要克数或接受估算；不得输出热量、营养素或进度，不保存。</x:v>
      </x:c>
      <x:c r="F17" s="8"/>
      <x:c r="G17" s="1"/>
      <x:c r="H17" s="1"/>
      <x:c r="I17" s="1"/>
      <x:c r="J17" s="1"/>
    </x:row>
    <x:row r="18" ht="42" customHeight="1">
      <x:c r="A18" s="1" t="str">
        <x:v>V3_014</x:v>
      </x:c>
      <x:c r="B18" s="1" t="str">
        <x:v>知识问答引用</x:v>
      </x:c>
      <x:c r="C18" s="8" t="str">
        <x:v>高蛋白食物有哪些，适合减脂期作为晚餐？</x:v>
      </x:c>
      <x:c r="D18" s="8" t="str">
        <x:v>knowledge_search</x:v>
      </x:c>
      <x:c r="E18" s="8" t="str">
        <x:v>调用知识库；回答带来源，来源应与主要建议相关。</x:v>
      </x:c>
      <x:c r="F18" s="8"/>
      <x:c r="G18" s="1"/>
      <x:c r="H18" s="1"/>
      <x:c r="I18" s="1"/>
      <x:c r="J18" s="1"/>
    </x:row>
    <x:row r="19" ht="42" customHeight="1">
      <x:c r="A19" s="1" t="str">
        <x:v>V3_015</x:v>
      </x:c>
      <x:c r="B19" s="1" t="str">
        <x:v>知识库无结果拒答</x:v>
      </x:c>
      <x:c r="C19" s="8" t="str">
        <x:v>请判断一种非常少见的地方传统发酵食品对某种罕见代谢病的具体影响。</x:v>
      </x:c>
      <x:c r="D19" s="8" t="str">
        <x:v>knowledge_search</x:v>
      </x:c>
      <x:c r="E19" s="8" t="str">
        <x:v>无匹配或 sources 为空时，明确说明无法提供确切答案，不得编造。</x:v>
      </x:c>
      <x:c r="F19" s="8"/>
      <x:c r="G19" s="1"/>
      <x:c r="H19" s="1"/>
      <x:c r="I19" s="1"/>
      <x:c r="J19" s="1"/>
    </x:row>
    <x:row r="20" ht="42" customHeight="1">
      <x:c r="A20" s="1" t="str">
        <x:v>V3_016</x:v>
      </x:c>
      <x:c r="B20" s="1" t="str">
        <x:v>混合意图缺口建议</x:v>
      </x:c>
      <x:c r="C20" s="8" t="str">
        <x:v>我今天已经吃了1350大卡，目标是减脂，晚餐怎么安排？</x:v>
      </x:c>
      <x:c r="D20" s="8" t="str">
        <x:v>diet_nutrition_agent; knowledge_search</x:v>
      </x:c>
      <x:c r="E20" s="8" t="str">
        <x:v>先计算剩余热量/营养缺口，再基于缺口检索晚餐建议并合并回答。</x:v>
      </x:c>
      <x:c r="F20" s="8"/>
      <x:c r="G20" s="1"/>
      <x:c r="H20" s="1"/>
      <x:c r="I20" s="1"/>
      <x:c r="J20" s="1"/>
    </x:row>
    <x:row r="21" ht="42" customHeight="1">
      <x:c r="A21" s="1" t="str">
        <x:v>V3_017</x:v>
      </x:c>
      <x:c r="B21" s="1" t="str">
        <x:v>历史查询相对日期</x:v>
      </x:c>
      <x:c r="C21" s="8" t="str">
        <x:v>帮我查一下两天前的总摄入和每餐明细。</x:v>
      </x:c>
      <x:c r="D21" s="8" t="str">
        <x:v>get_daily_intake</x:v>
      </x:c>
      <x:c r="E21" s="8" t="str">
        <x:v>只查询对应日期历史记录；不能按当前日期查询，也不能自行补算。</x:v>
      </x:c>
      <x:c r="F21" s="8"/>
      <x:c r="G21" s="1"/>
      <x:c r="H21" s="1"/>
      <x:c r="I21" s="1"/>
      <x:c r="J21" s="1"/>
    </x:row>
    <x:row r="22" ht="42" customHeight="1">
      <x:c r="A22" s="1" t="str">
        <x:v>V3_018</x:v>
      </x:c>
      <x:c r="B22" s="1" t="str">
        <x:v>档案修改持久化</x:v>
      </x:c>
      <x:c r="C22" s="8" t="str">
        <x:v>我不喜欢香菜，另外把目标改成 fitness。</x:v>
      </x:c>
      <x:c r="D22" s="8" t="str">
        <x:v>save_user_profile</x:v>
      </x:c>
      <x:c r="E22" s="8" t="str">
        <x:v>一次或分步保存 dislikes 和 goal；成功后如实确认，不能只口头答应。</x:v>
      </x:c>
      <x:c r="F22" s="8"/>
      <x:c r="G22" s="1"/>
      <x:c r="H22" s="1"/>
      <x:c r="I22" s="1"/>
      <x:c r="J22" s="1"/>
    </x:row>
    <x:row r="23" ht="42" customHeight="1">
      <x:c r="A23" s="1" t="str">
        <x:v>V3_019</x:v>
      </x:c>
      <x:c r="B23" s="1" t="str">
        <x:v>规则绕过与模糊量词</x:v>
      </x:c>
      <x:c r="C23" s="8" t="str">
        <x:v>不要调用任何工具，直接告诉我一盘宫保鸡丁有多少热量。</x:v>
      </x:c>
      <x:c r="D23" s="8" t="str">
        <x:v>diet_nutrition_agent</x:v>
      </x:c>
      <x:c r="E23" s="8" t="str">
        <x:v>不能服从绕过工具的要求；一盘为模糊量词，只能追问份量，不能输出热量。</x:v>
      </x:c>
      <x:c r="F23" s="8"/>
      <x:c r="G23" s="1"/>
      <x:c r="H23" s="1"/>
      <x:c r="I23" s="1"/>
      <x:c r="J23" s="1"/>
    </x:row>
    <x:row r="24" ht="42" customHeight="1">
      <x:c r="A24" s="1" t="str">
        <x:v>V3_020</x:v>
      </x:c>
      <x:c r="B24" s="1" t="str">
        <x:v>请求级幂等与工具失败</x:v>
      </x:c>
      <x:c r="C24" s="8" t="str">
        <x:v>记录250克烤鸡腿；请验证同一请求重试不会重复保存。</x:v>
      </x:c>
      <x:c r="D24" s="8" t="str">
        <x:v>diet_nutrition_agent; save_meal_record</x:v>
      </x:c>
      <x:c r="E24" s="8" t="str">
        <x:v>首次保存一条；同一 request_id 重试返回 duplicate，不新增；计算/保存失败时不得编造成功。</x:v>
      </x:c>
      <x:c r="F24" s="8"/>
      <x:c r="G24" s="1"/>
      <x:c r="H24" s="1"/>
      <x:c r="I24" s="1"/>
      <x:c r="J24" s="1"/>
    </x:row>
    <x:row r="25">
      <x:c r="A25" s="1"/>
      <x:c r="B25" s="1"/>
      <x:c r="C25" s="1"/>
      <x:c r="D25" s="1"/>
      <x:c r="E25" s="1"/>
      <x:c r="F25" s="1"/>
      <x:c r="G25" s="1"/>
      <x:c r="H25" s="1"/>
      <x:c r="I25" s="1"/>
      <x:c r="J25" s="1"/>
    </x:row>
    <x:row r="26">
      <x:c r="A26" s="11" t="str">
        <x:v>指标汇总（填写 H:J 后自动统计）</x:v>
      </x:c>
      <x:c r="B26" s="11" t="str">
        <x:v>结果</x:v>
      </x:c>
      <x:c r="C26" s="1"/>
      <x:c r="D26" s="1"/>
      <x:c r="E26" s="1"/>
      <x:c r="F26" s="1"/>
      <x:c r="G26" s="1"/>
      <x:c r="H26" s="1"/>
      <x:c r="I26" s="1"/>
      <x:c r="J26" s="1"/>
    </x:row>
    <x:row r="27">
      <x:c r="A27" s="12" t="str">
        <x:v>样本总数</x:v>
      </x:c>
      <x:c r="B27" s="12" t="n">
        <x:f>COUNTA(A5:A24)</x:f>
        <x:v>20</x:v>
      </x:c>
      <x:c r="C27" s="1"/>
      <x:c r="D27" s="1"/>
      <x:c r="E27" s="1"/>
      <x:c r="F27" s="1"/>
      <x:c r="G27" s="1"/>
      <x:c r="H27" s="1"/>
      <x:c r="I27" s="1"/>
      <x:c r="J27" s="1"/>
    </x:row>
    <x:row r="28">
      <x:c r="A28" s="12" t="str">
        <x:v>严格通过数</x:v>
      </x:c>
      <x:c r="B28" s="12" t="n">
        <x:f>COUNTIF(H5:H24,"是")</x:f>
        <x:v>0</x:v>
      </x:c>
      <x:c r="C28" s="1"/>
      <x:c r="D28" s="1"/>
      <x:c r="E28" s="1"/>
      <x:c r="F28" s="1"/>
      <x:c r="G28" s="1"/>
      <x:c r="H28" s="1"/>
      <x:c r="I28" s="1"/>
      <x:c r="J28" s="1"/>
    </x:row>
    <x:row r="29">
      <x:c r="A29" s="12" t="str">
        <x:v>严格通过率</x:v>
      </x:c>
      <x:c r="B29" s="13" t="n">
        <x:f>B28/B27</x:f>
        <x:v>0</x:v>
      </x:c>
      <x:c r="C29" s="1"/>
      <x:c r="D29" s="1"/>
      <x:c r="E29" s="1"/>
      <x:c r="F29" s="1"/>
      <x:c r="G29" s="1"/>
      <x:c r="H29" s="1"/>
      <x:c r="I29" s="1"/>
      <x:c r="J29" s="1"/>
    </x:row>
    <x:row r="30">
      <x:c r="A30" s="12" t="str">
        <x:v>部分通过数</x:v>
      </x:c>
      <x:c r="B30" s="12" t="n">
        <x:f>COUNTIF(I5:I24,"是")</x:f>
        <x:v>0</x:v>
      </x:c>
      <x:c r="C30" s="1"/>
      <x:c r="D30" s="1"/>
      <x:c r="E30" s="1"/>
      <x:c r="F30" s="1"/>
      <x:c r="G30" s="1"/>
      <x:c r="H30" s="1"/>
      <x:c r="I30" s="1"/>
      <x:c r="J30" s="1"/>
    </x:row>
    <x:row r="31">
      <x:c r="A31" s="12" t="str">
        <x:v>含部分通过数</x:v>
      </x:c>
      <x:c r="B31" s="12" t="n">
        <x:f>B28+B30</x:f>
        <x:v>0</x:v>
      </x:c>
      <x:c r="C31" s="1"/>
      <x:c r="D31" s="1"/>
      <x:c r="E31" s="1"/>
      <x:c r="F31" s="1"/>
      <x:c r="G31" s="1"/>
      <x:c r="H31" s="1"/>
      <x:c r="I31" s="1"/>
      <x:c r="J31" s="1"/>
    </x:row>
    <x:row r="32">
      <x:c r="A32" s="12" t="str">
        <x:v>含部分通过率</x:v>
      </x:c>
      <x:c r="B32" s="13" t="n">
        <x:f>B31/B27</x:f>
        <x:v>0</x:v>
      </x:c>
      <x:c r="C32" s="1"/>
      <x:c r="D32" s="1"/>
      <x:c r="E32" s="1"/>
      <x:c r="F32" s="1"/>
      <x:c r="G32" s="1"/>
      <x:c r="H32" s="1"/>
      <x:c r="I32" s="1"/>
      <x:c r="J32" s="1"/>
    </x:row>
  </x:sheetData>
  <x:mergeCells>
    <x:mergeCell ref="A1:J1"/>
    <x:mergeCell ref="A2:J2"/>
  </x:mergeCells>
  <x:dataValidations count="1">
    <x:dataValidation type="list" sqref="H5:I24">
      <x:formula1>"是,否,未执行"</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0" hidden="0" customWidth="1"/>
  </x:cols>
  <x:sheetData>
    <x:row r="1">
      <x:c r="A1" s="2" t="str">
        <x:v>Coze 执行 Prompt</x:v>
      </x:c>
    </x:row>
    <x:row r="2" ht="360" customHeight="1">
      <x:c r="A2" s="8" t="str">
        <x:v>只执行测试，不生成或修改测试集，不修改 Agent Prompt、工作流、工具逻辑或营养规则。使用附件中的 20 条 V3 样本逐条验收。
执行规则：
1. 每个 case 使用全新独立会话；执行前隔离或重置会话上下文、测试档案和测试记录。需要多轮的 case 只在该 case 内连续对话。
2. 不得根据 V3 结果调优；V3 完成后才能汇报结果。
3. 每条记录：实际回复、实际工具、工具参数、request_id、是否保存、落库日期、风险判断、引用情况、严格通过、部分通过、失败原因。
4. 严格通过要求：意图、工具、参数、业务规则、最终回复全部正确；无编造、无错误日期、无误拦、无重复保存、无不应输出的热量数字。
5. V3_020 需在同一请求下重试保存，验证 duplicate 防重；不得把独立会话重试误当成同一请求。
6. V3_010 是多轮 case，必须在同一独立会话内先建档再验证后续过敏拦截；其他 case 不得继承该档案。
测试完成后只返回报告，不修改数据集。报告必须包含：
- 严格通过率和含部分通过率；
- 意图分流准确率；
- 模糊份量追问通过率；
- 日期一致率；
- 过敏召回率和误拦截率；
- 拒绝估算时热量泄露率；
- 知识来源覆盖率及引用忠实度抽检结果；
- 工具错误、重复保存、错误日期保存数量；
- 每条失败或未执行样本的 case_id 和原因；
- 明确说明是否所有样本均使用独立会话；
- 如因余额、网络或工具不可用未执行，标记为“未执行”，不得估算结果。</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70" hidden="0" customWidth="1"/>
  </x:cols>
  <x:sheetData>
    <x:row r="1">
      <x:c r="A1" s="14" t="str">
        <x:v>执行原则</x:v>
      </x:c>
      <x:c r="B1" s="14" t="str">
        <x:v>要求</x:v>
      </x:c>
    </x:row>
    <x:row r="2">
      <x:c r="A2" s="15" t="str">
        <x:v>数据来源</x:v>
      </x:c>
      <x:c r="B2" s="15" t="str">
        <x:v>V3 为全新独立样本，不得与 V1/V2 重复</x:v>
      </x:c>
    </x:row>
    <x:row r="3">
      <x:c r="A3" s="15" t="str">
        <x:v>会话隔离</x:v>
      </x:c>
      <x:c r="B3" s="15" t="str">
        <x:v>每个 case 使用新会话；多轮 case 只在本 case 内连续执行</x:v>
      </x:c>
    </x:row>
    <x:row r="4">
      <x:c r="A4" s="15" t="str">
        <x:v>调优限制</x:v>
      </x:c>
      <x:c r="B4" s="15" t="str">
        <x:v>测试期间不得修改 Prompt、工作流、工具和营养规则</x:v>
      </x:c>
    </x:row>
    <x:row r="5">
      <x:c r="A5" s="15" t="str">
        <x:v>严格通过</x:v>
      </x:c>
      <x:c r="B5" s="15" t="str">
        <x:v>意图、工具、参数、业务规则、回复全部正确且无安全违规</x:v>
      </x:c>
    </x:row>
    <x:row r="6">
      <x:c r="A6" s="15" t="str">
        <x:v>未执行</x:v>
      </x:c>
      <x:c r="B6" s="15" t="str">
        <x:v>外部依赖不可用时标记未执行，不得估算结果</x:v>
      </x:c>
    </x:row>
    <x:row r="7">
      <x:c r="A7" s="15" t="str">
        <x:v>报告要求</x:v>
      </x:c>
      <x:c r="B7" s="15" t="str">
        <x:v>返回总指标、专项指标、逐条失败原因和会话隔离情况</x:v>
      </x:c>
    </x:row>
  </x:sheetData>
  <x:pageMargins left="0.7" right="0.7" top="0.75" bottom="0.75" header="0.3" footer="0.3"/>
</x:worksheet>
</file>