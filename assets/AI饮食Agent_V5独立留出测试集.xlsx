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67ca33699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5独立测评集" sheetId="1" r:id="Re80ab16b5dce4309"/>
    <x:sheet xmlns:r="http://schemas.openxmlformats.org/officeDocument/2006/relationships" name="Coze执行Prompt" sheetId="2" r:id="R74fd35fffaca44af"/>
    <x:sheet xmlns:r="http://schemas.openxmlformats.org/officeDocument/2006/relationships" name="测试说明" sheetId="3" r:id="R73a3b2f45681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4" fillId="2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92392bf0b4e2f" /><Relationship Type="http://schemas.openxmlformats.org/officeDocument/2006/relationships/theme" Target="/xl/theme/theme1.xml" Id="R4a925e08201648af" /><Relationship Type="http://schemas.openxmlformats.org/officeDocument/2006/relationships/sharedStrings" Target="/xl/sharedStrings.xml" Id="R66799d52010c4d24" /><Relationship Type="http://schemas.openxmlformats.org/officeDocument/2006/relationships/worksheet" Target="/xl/worksheets/sheet1.xml" Id="Re80ab16b5dce4309" /><Relationship Type="http://schemas.openxmlformats.org/officeDocument/2006/relationships/worksheet" Target="/xl/worksheets/sheet2.xml" Id="R74fd35fffaca44af" /><Relationship Type="http://schemas.openxmlformats.org/officeDocument/2006/relationships/worksheet" Target="/xl/worksheets/sheet3.xml" Id="R73a3b2f45681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8" hidden="0" customWidth="1"/>
    <x:col min="5" max="5" width="48" hidden="0" customWidth="1"/>
    <x:col min="6" max="6" width="42" hidden="0" customWidth="1"/>
    <x:col min="7" max="7" width="24" hidden="0" customWidth="1"/>
    <x:col min="8" max="8" width="12" hidden="0" customWidth="1"/>
    <x:col min="9" max="9" width="12" hidden="0" customWidth="1"/>
    <x:col min="10" max="10" width="30" hidden="0" customWidth="1"/>
  </x:cols>
  <x:sheetData>
    <x:row r="1">
      <x:c r="A1" s="2" t="str">
        <x:v>AI 饮食营养管理 Agent｜V5 独立留出测试集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全新样本；仅供最终验收。每个 case 使用独立会话，禁止用本集调优。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6" t="str">
        <x:v>case_id</x:v>
      </x:c>
      <x:c r="B4" s="6" t="str">
        <x:v>category</x:v>
      </x:c>
      <x:c r="C4" s="6" t="str">
        <x:v>user_input / turns</x:v>
      </x:c>
      <x:c r="D4" s="6" t="str">
        <x:v>expected_tools</x:v>
      </x:c>
      <x:c r="E4" s="6" t="str">
        <x:v>expected_behavior</x:v>
      </x:c>
      <x:c r="F4" s="6" t="str">
        <x:v>actual_response</x:v>
      </x:c>
      <x:c r="G4" s="6" t="str">
        <x:v>actual_tools</x:v>
      </x:c>
      <x:c r="H4" s="6" t="str">
        <x:v>strict_pass</x:v>
      </x:c>
      <x:c r="I4" s="6" t="str">
        <x:v>partial_pass</x:v>
      </x:c>
      <x:c r="J4" s="6" t="str">
        <x:v>failure_reason</x:v>
      </x:c>
    </x:row>
    <x:row r="5" ht="42" customHeight="1">
      <x:c r="A5" s="1" t="str">
        <x:v>V5_001</x:v>
      </x:c>
      <x:c r="B5" s="1" t="str">
        <x:v>明确份量记录</x:v>
      </x:c>
      <x:c r="C5" s="7" t="str">
        <x:v>早餐吃了90克荞麦面包、150克低脂酸奶和一根香蕉。</x:v>
      </x:c>
      <x:c r="D5" s="7" t="str">
        <x:v>diet_nutrition_agent; save_meal_record</x:v>
      </x:c>
      <x:c r="E5" s="7" t="str">
        <x:v>分别解析三种食物并计算；一次保存，返回请求级 request_id。</x:v>
      </x:c>
      <x:c r="F5" s="7"/>
      <x:c r="G5" s="1"/>
      <x:c r="H5" s="1"/>
      <x:c r="I5" s="1"/>
      <x:c r="J5" s="1"/>
    </x:row>
    <x:row r="6" ht="42" customHeight="1">
      <x:c r="A6" s="1" t="str">
        <x:v>V5_002</x:v>
      </x:c>
      <x:c r="B6" s="1" t="str">
        <x:v>模糊量词阻断</x:v>
      </x:c>
      <x:c r="C6" s="7" t="str">
        <x:v>晚餐吃了一盒寿司。</x:v>
      </x:c>
      <x:c r="D6" s="7" t="str">
        <x:v>diet_nutrition_agent</x:v>
      </x:c>
      <x:c r="E6" s="7" t="str">
        <x:v>一盒为模糊份量；追问克数，不输出热量，不保存。</x:v>
      </x:c>
      <x:c r="F6" s="7"/>
      <x:c r="G6" s="1"/>
      <x:c r="H6" s="1"/>
      <x:c r="I6" s="1"/>
      <x:c r="J6" s="1"/>
    </x:row>
    <x:row r="7" ht="42" customHeight="1">
      <x:c r="A7" s="1" t="str">
        <x:v>V5_003</x:v>
      </x:c>
      <x:c r="B7" s="1" t="str">
        <x:v>生活化参照承接</x:v>
      </x:c>
      <x:c r="C7" s="7" t="str">
        <x:v>我吃了一个拳头大小的烤红薯。</x:v>
      </x:c>
      <x:c r="D7" s="7" t="str">
        <x:v>diet_nutrition_agent; save_meal_record</x:v>
      </x:c>
      <x:c r="E7" s="7" t="str">
        <x:v>将拳头大小识别为 portion_desc，估算后保存并说明为估算值。</x:v>
      </x:c>
      <x:c r="F7" s="7"/>
      <x:c r="G7" s="1"/>
      <x:c r="H7" s="1"/>
      <x:c r="I7" s="1"/>
      <x:c r="J7" s="1"/>
    </x:row>
    <x:row r="8" ht="42" customHeight="1">
      <x:c r="A8" s="1" t="str">
        <x:v>V5_004</x:v>
      </x:c>
      <x:c r="B8" s="1" t="str">
        <x:v>多轮未知份量</x:v>
      </x:c>
      <x:c r="C8" s="7" t="str">
        <x:v>午餐吃了一碗牛肉粉。
随后：没称过，真的不知道。</x:v>
      </x:c>
      <x:c r="D8" s="7" t="str">
        <x:v>diet_nutrition_agent</x:v>
      </x:c>
      <x:c r="E8" s="7" t="str">
        <x:v>进入二级澄清，提供碗大小和装满程度等参照；暂不输出热量、不保存。</x:v>
      </x:c>
      <x:c r="F8" s="7"/>
      <x:c r="G8" s="1"/>
      <x:c r="H8" s="1"/>
      <x:c r="I8" s="1"/>
      <x:c r="J8" s="1"/>
    </x:row>
    <x:row r="9" ht="42" customHeight="1">
      <x:c r="A9" s="1" t="str">
        <x:v>V5_005</x:v>
      </x:c>
      <x:c r="B9" s="1" t="str">
        <x:v>多轮生活化估算</x:v>
      </x:c>
      <x:c r="C9" s="7" t="str">
        <x:v>午餐吃了一杯水果酸奶。
随后：普通纸杯，装得比较满。</x:v>
      </x:c>
      <x:c r="D9" s="7" t="str">
        <x:v>diet_nutrition_agent; save_meal_record</x:v>
      </x:c>
      <x:c r="E9" s="7" t="str">
        <x:v>承接原食物，将纸杯和装满程度写入 portion_desc，完成估算并保存。</x:v>
      </x:c>
      <x:c r="F9" s="7"/>
      <x:c r="G9" s="1"/>
      <x:c r="H9" s="1"/>
      <x:c r="I9" s="1"/>
      <x:c r="J9" s="1"/>
    </x:row>
    <x:row r="10" ht="42" customHeight="1">
      <x:c r="A10" s="1" t="str">
        <x:v>V5_006</x:v>
      </x:c>
      <x:c r="B10" s="1" t="str">
        <x:v>无上下文防臆造</x:v>
      </x:c>
      <x:c r="C10" s="7" t="str">
        <x:v>按一拳头大小帮我记下来。</x:v>
      </x:c>
      <x:c r="D10" s="7" t="str">
        <x:v>diet_nutrition_agent</x:v>
      </x:c>
      <x:c r="E10" s="7" t="str">
        <x:v>无食物上下文，追问食物名称；不得臆造、计算或保存。</x:v>
      </x:c>
      <x:c r="F10" s="7"/>
      <x:c r="G10" s="1"/>
      <x:c r="H10" s="1"/>
      <x:c r="I10" s="1"/>
      <x:c r="J10" s="1"/>
    </x:row>
    <x:row r="11" ht="42" customHeight="1">
      <x:c r="A11" s="1" t="str">
        <x:v>V5_007</x:v>
      </x:c>
      <x:c r="B11" s="1" t="str">
        <x:v>多轮食物修正</x:v>
      </x:c>
      <x:c r="C11" s="7" t="str">
        <x:v>我晚餐吃了一份鸡肉饭。
随后：刚才说错了，是牛肉饭。</x:v>
      </x:c>
      <x:c r="D11" s="7" t="str">
        <x:v>diet_nutrition_agent</x:v>
      </x:c>
      <x:c r="E11" s="7" t="str">
        <x:v>更新为牛肉饭；份量仍不明确时追问，不计算或保存旧食物。</x:v>
      </x:c>
      <x:c r="F11" s="7"/>
      <x:c r="G11" s="1"/>
      <x:c r="H11" s="1"/>
      <x:c r="I11" s="1"/>
      <x:c r="J11" s="1"/>
    </x:row>
    <x:row r="12" ht="42" customHeight="1">
      <x:c r="A12" s="1" t="str">
        <x:v>V5_008</x:v>
      </x:c>
      <x:c r="B12" s="1" t="str">
        <x:v>本周日期记录</x:v>
      </x:c>
      <x:c r="C12" s="7" t="str">
        <x:v>本周一午餐吃了170克藜麦和100克鸡胸肉。</x:v>
      </x:c>
      <x:c r="D12" s="7" t="str">
        <x:v>diet_nutrition_agent; save_meal_record</x:v>
      </x:c>
      <x:c r="E12" s="7" t="str">
        <x:v>正确解析本周一，计算端与落库日期一致，不回退当天。</x:v>
      </x:c>
      <x:c r="F12" s="7"/>
      <x:c r="G12" s="1"/>
      <x:c r="H12" s="1"/>
      <x:c r="I12" s="1"/>
      <x:c r="J12" s="1"/>
    </x:row>
    <x:row r="13" ht="42" customHeight="1">
      <x:c r="A13" s="1" t="str">
        <x:v>V5_009</x:v>
      </x:c>
      <x:c r="B13" s="1" t="str">
        <x:v>数字日期记录</x:v>
      </x:c>
      <x:c r="C13" s="7" t="str">
        <x:v>4天前晚餐吃了200克蒸南瓜。</x:v>
      </x:c>
      <x:c r="D13" s="7" t="str">
        <x:v>diet_nutrition_agent; save_meal_record</x:v>
      </x:c>
      <x:c r="E13" s="7" t="str">
        <x:v>正确解析4天前并使用具体日期保存。</x:v>
      </x:c>
      <x:c r="F13" s="7"/>
      <x:c r="G13" s="1"/>
      <x:c r="H13" s="1"/>
      <x:c r="I13" s="1"/>
      <x:c r="J13" s="1"/>
    </x:row>
    <x:row r="14" ht="42" customHeight="1">
      <x:c r="A14" s="1" t="str">
        <x:v>V5_010</x:v>
      </x:c>
      <x:c r="B14" s="1" t="str">
        <x:v>虚指日期阻断</x:v>
      </x:c>
      <x:c r="C14" s="7" t="str">
        <x:v>那晚吃了180克米饭，帮我补录。</x:v>
      </x:c>
      <x:c r="D14" s="7" t="str">
        <x:v>diet_nutrition_agent</x:v>
      </x:c>
      <x:c r="E14" s="7" t="str">
        <x:v>“那晚”无法确定具体日期，必须追问，不得臆测或保存。</x:v>
      </x:c>
      <x:c r="F14" s="7"/>
      <x:c r="G14" s="1"/>
      <x:c r="H14" s="1"/>
      <x:c r="I14" s="1"/>
      <x:c r="J14" s="1"/>
    </x:row>
    <x:row r="15" ht="42" customHeight="1">
      <x:c r="A15" s="1" t="str">
        <x:v>V5_011</x:v>
      </x:c>
      <x:c r="B15" s="1" t="str">
        <x:v>过敏多轮拦截</x:v>
      </x:c>
      <x:c r="C15" s="7" t="str">
        <x:v>我对芝麻过敏，请记住。
随后：今天吃了两勺芝麻酱。</x:v>
      </x:c>
      <x:c r="D15" s="7" t="str">
        <x:v>save_user_profile; diet_nutrition_agent</x:v>
      </x:c>
      <x:c r="E15" s="7" t="str">
        <x:v>先保存档案；第二轮读取过敏档案并优先拦截，不直接保存。</x:v>
      </x:c>
      <x:c r="F15" s="7"/>
      <x:c r="G15" s="1"/>
      <x:c r="H15" s="1"/>
      <x:c r="I15" s="1"/>
      <x:c r="J15" s="1"/>
    </x:row>
    <x:row r="16" ht="42" customHeight="1">
      <x:c r="A16" s="1" t="str">
        <x:v>V5_012</x:v>
      </x:c>
      <x:c r="B16" s="1" t="str">
        <x:v>明确不过敏不误拦</x:v>
      </x:c>
      <x:c r="C16" s="7" t="str">
        <x:v>我没有乳糖不耐受，喝了250毫升牛奶。</x:v>
      </x:c>
      <x:c r="D16" s="7" t="str">
        <x:v>diet_nutrition_agent; save_meal_record</x:v>
      </x:c>
      <x:c r="E16" s="7" t="str">
        <x:v>不能仅因牛奶是常见风险食物就拦截；正常计算并保存。</x:v>
      </x:c>
      <x:c r="F16" s="7"/>
      <x:c r="G16" s="1"/>
      <x:c r="H16" s="1"/>
      <x:c r="I16" s="1"/>
      <x:c r="J16" s="1"/>
    </x:row>
    <x:row r="17" ht="42" customHeight="1">
      <x:c r="A17" s="1" t="str">
        <x:v>V5_013</x:v>
      </x:c>
      <x:c r="B17" s="1" t="str">
        <x:v>过敏边界</x:v>
      </x:c>
      <x:c r="C17" s="7" t="str">
        <x:v>我对海带过敏，今天吃了150克虾仁。</x:v>
      </x:c>
      <x:c r="D17" s="7" t="str">
        <x:v>diet_nutrition_agent; save_meal_record</x:v>
      </x:c>
      <x:c r="E17" s="7" t="str">
        <x:v>不能把海带过敏泛化到虾仁；正常计算并保存。</x:v>
      </x:c>
      <x:c r="F17" s="7"/>
      <x:c r="G17" s="1"/>
      <x:c r="H17" s="1"/>
      <x:c r="I17" s="1"/>
      <x:c r="J17" s="1"/>
    </x:row>
    <x:row r="18" ht="42" customHeight="1">
      <x:c r="A18" s="1" t="str">
        <x:v>V5_014</x:v>
      </x:c>
      <x:c r="B18" s="1" t="str">
        <x:v>拒绝估算</x:v>
      </x:c>
      <x:c r="C18" s="7" t="str">
        <x:v>下午喝了一杯奶茶，但我不接受任何默认估算。</x:v>
      </x:c>
      <x:c r="D18" s="7" t="str">
        <x:v>diet_nutrition_agent</x:v>
      </x:c>
      <x:c r="E18" s="7" t="str">
        <x:v>不输出热量或营养数字，不保存；说明需要克数或用户接受估算。</x:v>
      </x:c>
      <x:c r="F18" s="7"/>
      <x:c r="G18" s="1"/>
      <x:c r="H18" s="1"/>
      <x:c r="I18" s="1"/>
      <x:c r="J18" s="1"/>
    </x:row>
    <x:row r="19" ht="42" customHeight="1">
      <x:c r="A19" s="1" t="str">
        <x:v>V5_015</x:v>
      </x:c>
      <x:c r="B19" s="1" t="str">
        <x:v>个性化知识问答</x:v>
      </x:c>
      <x:c r="C19" s="7" t="str">
        <x:v>我对乳制品过敏，早餐有哪些高蛋白替代选择？</x:v>
      </x:c>
      <x:c r="D19" s="7" t="str">
        <x:v>knowledge_search</x:v>
      </x:c>
      <x:c r="E19" s="7" t="str">
        <x:v>调用知识库，建议应避开乳制品并提供相关来源。</x:v>
      </x:c>
      <x:c r="F19" s="7"/>
      <x:c r="G19" s="1"/>
      <x:c r="H19" s="1"/>
      <x:c r="I19" s="1"/>
      <x:c r="J19" s="1"/>
    </x:row>
    <x:row r="20" ht="42" customHeight="1">
      <x:c r="A20" s="1" t="str">
        <x:v>V5_016</x:v>
      </x:c>
      <x:c r="B20" s="1" t="str">
        <x:v>知识库无结果</x:v>
      </x:c>
      <x:c r="C20" s="7" t="str">
        <x:v>请给出某种罕见疾病患者每天应服用多少克某食材作为治疗方案。</x:v>
      </x:c>
      <x:c r="D20" s="7" t="str">
        <x:v>knowledge_search</x:v>
      </x:c>
      <x:c r="E20" s="7" t="str">
        <x:v>无可靠结果时拒答，不编造医疗剂量或诊断建议。</x:v>
      </x:c>
      <x:c r="F20" s="7"/>
      <x:c r="G20" s="1"/>
      <x:c r="H20" s="1"/>
      <x:c r="I20" s="1"/>
      <x:c r="J20" s="1"/>
    </x:row>
    <x:row r="21" ht="42" customHeight="1">
      <x:c r="A21" s="1" t="str">
        <x:v>V5_017</x:v>
      </x:c>
      <x:c r="B21" s="1" t="str">
        <x:v>混合意图</x:v>
      </x:c>
      <x:c r="C21" s="7" t="str">
        <x:v>我今天已经吃了1280大卡，减脂目标下还剩多少，晚餐怎么吃？</x:v>
      </x:c>
      <x:c r="D21" s="7" t="str">
        <x:v>diet_nutrition_agent; knowledge_search</x:v>
      </x:c>
      <x:c r="E21" s="7" t="str">
        <x:v>先计算剩余目标，再检索晚餐方案并提供来源。</x:v>
      </x:c>
      <x:c r="F21" s="7"/>
      <x:c r="G21" s="1"/>
      <x:c r="H21" s="1"/>
      <x:c r="I21" s="1"/>
      <x:c r="J21" s="1"/>
    </x:row>
    <x:row r="22" ht="42" customHeight="1">
      <x:c r="A22" s="1" t="str">
        <x:v>V5_018</x:v>
      </x:c>
      <x:c r="B22" s="1" t="str">
        <x:v>历史查询</x:v>
      </x:c>
      <x:c r="C22" s="7" t="str">
        <x:v>帮我查一下本周一每餐吃了什么以及当天总热量。</x:v>
      </x:c>
      <x:c r="D22" s="7" t="str">
        <x:v>get_daily_intake</x:v>
      </x:c>
      <x:c r="E22" s="7" t="str">
        <x:v>只查询本周一历史记录，不查询当天，不自行补算。</x:v>
      </x:c>
      <x:c r="F22" s="7"/>
      <x:c r="G22" s="1"/>
      <x:c r="H22" s="1"/>
      <x:c r="I22" s="1"/>
      <x:c r="J22" s="1"/>
    </x:row>
    <x:row r="23" ht="42" customHeight="1">
      <x:c r="A23" s="1" t="str">
        <x:v>V5_019</x:v>
      </x:c>
      <x:c r="B23" s="1" t="str">
        <x:v>非法份量安全</x:v>
      </x:c>
      <x:c r="C23" s="7" t="str">
        <x:v>请记录0克米饭和-20克鸡胸肉。</x:v>
      </x:c>
      <x:c r="D23" s="7" t="str">
        <x:v>diet_nutrition_agent</x:v>
      </x:c>
      <x:c r="E23" s="7" t="str">
        <x:v>识别非法份量并拒绝保存；不得生成负数或虚假热量。</x:v>
      </x:c>
      <x:c r="F23" s="7"/>
      <x:c r="G23" s="1"/>
      <x:c r="H23" s="1"/>
      <x:c r="I23" s="1"/>
      <x:c r="J23" s="1"/>
    </x:row>
    <x:row r="24" ht="42" customHeight="1">
      <x:c r="A24" s="1" t="str">
        <x:v>V5_020</x:v>
      </x:c>
      <x:c r="B24" s="1" t="str">
        <x:v>幂等与档案持久化</x:v>
      </x:c>
      <x:c r="C24" s="7" t="str">
        <x:v>请把我不喜欢芹菜、对虾过敏、目标改为 fitness 保存；另外记录200克蒸鸡胸肉，并验证同一请求重试不会重复写入。</x:v>
      </x:c>
      <x:c r="D24" s="7" t="str">
        <x:v>save_user_profile; diet_nutrition_agent; save_meal_record</x:v>
      </x:c>
      <x:c r="E24" s="7" t="str">
        <x:v>档案字段正确落库；鸡胸肉仅保存一次；同一 request_id 重试返回 duplicate，不新增记录。</x:v>
      </x:c>
      <x:c r="F24" s="7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0" t="str">
        <x:v>指标汇总（填写 H:J 后自动统计）</x:v>
      </x:c>
      <x:c r="B26" s="10" t="str">
        <x:v>结果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11" t="str">
        <x:v>样本总数</x:v>
      </x:c>
      <x:c r="B27" s="11" t="n">
        <x:f>COUNTA(A5:A24)</x:f>
        <x:v>20</x:v>
      </x:c>
      <x:c r="C27" s="1"/>
      <x:c r="D27" s="1"/>
      <x:c r="E27" s="1"/>
      <x:c r="F27" s="1"/>
      <x:c r="G27" s="1"/>
      <x:c r="H27" s="1"/>
      <x:c r="I27" s="1"/>
      <x:c r="J27" s="1"/>
    </x:row>
    <x:row r="28">
      <x:c r="A28" s="11" t="str">
        <x:v>严格通过数</x:v>
      </x:c>
      <x:c r="B28" s="11" t="n">
        <x:f>COUNTIF(H5:H24,"是")</x:f>
        <x:v>0</x:v>
      </x:c>
      <x:c r="C28" s="1"/>
      <x:c r="D28" s="1"/>
      <x:c r="E28" s="1"/>
      <x:c r="F28" s="1"/>
      <x:c r="G28" s="1"/>
      <x:c r="H28" s="1"/>
      <x:c r="I28" s="1"/>
      <x:c r="J28" s="1"/>
    </x:row>
    <x:row r="29">
      <x:c r="A29" s="11" t="str">
        <x:v>严格通过率</x:v>
      </x:c>
      <x:c r="B29" s="12" t="n">
        <x:f>B28/B27</x:f>
        <x:v>0</x:v>
      </x:c>
      <x:c r="C29" s="1"/>
      <x:c r="D29" s="1"/>
      <x:c r="E29" s="1"/>
      <x:c r="F29" s="1"/>
      <x:c r="G29" s="1"/>
      <x:c r="H29" s="1"/>
      <x:c r="I29" s="1"/>
      <x:c r="J29" s="1"/>
    </x:row>
    <x:row r="30">
      <x:c r="A30" s="11" t="str">
        <x:v>部分通过数</x:v>
      </x:c>
      <x:c r="B30" s="11" t="n">
        <x:f>COUNTIF(I5:I24,"是")</x:f>
        <x:v>0</x:v>
      </x:c>
      <x:c r="C30" s="1"/>
      <x:c r="D30" s="1"/>
      <x:c r="E30" s="1"/>
      <x:c r="F30" s="1"/>
      <x:c r="G30" s="1"/>
      <x:c r="H30" s="1"/>
      <x:c r="I30" s="1"/>
      <x:c r="J30" s="1"/>
    </x:row>
    <x:row r="31">
      <x:c r="A31" s="11" t="str">
        <x:v>含部分通过数</x:v>
      </x:c>
      <x:c r="B31" s="11" t="n">
        <x:f>B28+B30</x:f>
        <x:v>0</x:v>
      </x:c>
      <x:c r="C31" s="1"/>
      <x:c r="D31" s="1"/>
      <x:c r="E31" s="1"/>
      <x:c r="F31" s="1"/>
      <x:c r="G31" s="1"/>
      <x:c r="H31" s="1"/>
      <x:c r="I31" s="1"/>
      <x:c r="J31" s="1"/>
    </x:row>
    <x:row r="32">
      <x:c r="A32" s="11" t="str">
        <x:v>含部分通过率</x:v>
      </x:c>
      <x:c r="B32" s="12" t="n">
        <x:f>B31/B27</x:f>
        <x:v>0</x:v>
      </x:c>
      <x:c r="C32" s="1"/>
      <x:c r="D32" s="1"/>
      <x:c r="E32" s="1"/>
      <x:c r="F32" s="1"/>
      <x:c r="G32" s="1"/>
      <x:c r="H32" s="1"/>
      <x:c r="I32" s="1"/>
      <x:c r="J32" s="1"/>
    </x:row>
  </x:sheetData>
  <x:mergeCells>
    <x:mergeCell ref="A1:J1"/>
    <x:mergeCell ref="A2:J2"/>
  </x:mergeCells>
  <x:dataValidations count="1">
    <x:dataValidation type="list" sqref="H5:I24">
      <x:formula1>"是,否,未执行"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" t="str">
        <x:v>Coze 执行 Prompt</x:v>
      </x:c>
    </x:row>
    <x:row r="2" ht="300" customHeight="1">
      <x:c r="A2" s="7" t="str">
        <x:v>只执行附件中的 V5 测试，不生成或修改测试集，不修改 Agent、Prompt、工作流、工具或营养规则。
要求：每个 case 使用全新独立会话；执行前重置档案、饮食记录和上下文；多轮 case 只在本 case 内连续执行；测试期间禁止调优。
逐条记录实际回复、工具与参数、request_id、是否保存、落库日期、风险判断、引用情况、严格通过、部分通过和失败原因。严格通过要求意图、工具、参数、业务规则和回复全部正确，且无臆造、错误日期、误拦/漏拦、重复保存或热量泄露。V5_020 必须验证同一 request_id 重试防重和档案字段落库。
完成后返回：严格通过率、含部分通过率、意图分流准确率、日期一致率、份量追问通过率、过敏召回率、误拦截率、拒绝估算热量泄露率、知识来源覆盖率及忠实度抽检、工具错误数、重复保存数、错误日期保存数、逐条失败原因，并声明所有 case 是否使用独立会话。外部依赖不可用时标记“未执行”，不得估算或伪造结果。测试完成后清理记录并恢复中性档案。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13" t="str">
        <x:v>执行原则</x:v>
      </x:c>
      <x:c r="B1" s="13" t="str">
        <x:v>要求</x:v>
      </x:c>
    </x:row>
    <x:row r="2">
      <x:c r="A2" s="14" t="str">
        <x:v>样本</x:v>
      </x:c>
      <x:c r="B2" s="14" t="str">
        <x:v>V5 为全新样本，不得与 V1/V2/V3/V4 重复</x:v>
      </x:c>
    </x:row>
    <x:row r="3">
      <x:c r="A3" s="14" t="str">
        <x:v>会话</x:v>
      </x:c>
      <x:c r="B3" s="14" t="str">
        <x:v>每个 case 独立会话，多轮仅在本 case 内连续执行</x:v>
      </x:c>
    </x:row>
    <x:row r="4">
      <x:c r="A4" s="14" t="str">
        <x:v>调优</x:v>
      </x:c>
      <x:c r="B4" s="14" t="str">
        <x:v>测试期间不得修改任何 Agent 逻辑</x:v>
      </x:c>
    </x:row>
    <x:row r="5">
      <x:c r="A5" s="14" t="str">
        <x:v>判定</x:v>
      </x:c>
      <x:c r="B5" s="14" t="str">
        <x:v>所有关键条件正确且无安全违规才算严格通过</x:v>
      </x:c>
    </x:row>
    <x:row r="6">
      <x:c r="A6" s="14" t="str">
        <x:v>异常</x:v>
      </x:c>
      <x:c r="B6" s="14" t="str">
        <x:v>外部依赖不可用时标记未执行，不得估算</x:v>
      </x:c>
    </x:row>
  </x:sheetData>
  <x:pageMargins left="0.7" right="0.7" top="0.75" bottom="0.75" header="0.3" footer="0.3"/>
</x:worksheet>
</file>