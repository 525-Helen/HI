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09448f16d349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4独立测评集" sheetId="1" r:id="Rb569a37945794bf2"/>
    <x:sheet xmlns:r="http://schemas.openxmlformats.org/officeDocument/2006/relationships" name="Coze执行Prompt" sheetId="2" r:id="R7801915b238e43b4"/>
    <x:sheet xmlns:r="http://schemas.openxmlformats.org/officeDocument/2006/relationships" name="测试说明" sheetId="3" r:id="R978658496ccb42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6">
    <x:font>
      <x:sz val="11"/>
      <x:name val="Carlito"/>
    </x:font>
    <x:font>
      <x:sz val="10"/>
      <x:color rgb="FF1F2937"/>
      <x:name val="Arial"/>
    </x:font>
    <x:font>
      <x:b/>
      <x:sz val="15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/>
    <x:xf numFmtId="0" fontId="1" fillId="3" borderId="1" xfId="0" applyNumberFormat="1" applyFont="1" applyFill="1" applyBorder="1"/>
    <x:xf numFmtId="0" fontId="5" fillId="3" borderId="1" xfId="0" applyNumberFormat="1" applyFont="1" applyFill="1" applyBorder="1"/>
    <x:xf numFmtId="200" fontId="1" fillId="0" borderId="1" xfId="0" applyNumberFormat="1" applyFont="1" applyFill="1" applyBorder="1"/>
    <x:xf numFmtId="0" fontId="4" fillId="2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2adcb26fa14aa5" /><Relationship Type="http://schemas.openxmlformats.org/officeDocument/2006/relationships/theme" Target="/xl/theme/theme1.xml" Id="R332e38f882c84d78" /><Relationship Type="http://schemas.openxmlformats.org/officeDocument/2006/relationships/sharedStrings" Target="/xl/sharedStrings.xml" Id="Ra159803619444d89" /><Relationship Type="http://schemas.openxmlformats.org/officeDocument/2006/relationships/worksheet" Target="/xl/worksheets/sheet1.xml" Id="Rb569a37945794bf2" /><Relationship Type="http://schemas.openxmlformats.org/officeDocument/2006/relationships/worksheet" Target="/xl/worksheets/sheet2.xml" Id="R7801915b238e43b4" /><Relationship Type="http://schemas.openxmlformats.org/officeDocument/2006/relationships/worksheet" Target="/xl/worksheets/sheet3.xml" Id="R978658496ccb42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38" hidden="0" customWidth="1"/>
    <x:col min="4" max="4" width="28" hidden="0" customWidth="1"/>
    <x:col min="5" max="5" width="48" hidden="0" customWidth="1"/>
    <x:col min="6" max="6" width="42" hidden="0" customWidth="1"/>
    <x:col min="7" max="7" width="24" hidden="0" customWidth="1"/>
    <x:col min="8" max="8" width="12" hidden="0" customWidth="1"/>
    <x:col min="9" max="9" width="12" hidden="0" customWidth="1"/>
    <x:col min="10" max="10" width="30" hidden="0" customWidth="1"/>
  </x:cols>
  <x:sheetData>
    <x:row r="1">
      <x:c r="A1" s="2" t="str">
        <x:v>AI 饮食营养管理 Agent｜V4 独立留出测试集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3" t="str">
        <x:v>全新样本；仅供最终验收。每个 case 使用独立会话，禁止用本集调优。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6" t="str">
        <x:v>case_id</x:v>
      </x:c>
      <x:c r="B4" s="6" t="str">
        <x:v>category</x:v>
      </x:c>
      <x:c r="C4" s="6" t="str">
        <x:v>user_input / turns</x:v>
      </x:c>
      <x:c r="D4" s="6" t="str">
        <x:v>expected_tools</x:v>
      </x:c>
      <x:c r="E4" s="6" t="str">
        <x:v>expected_behavior</x:v>
      </x:c>
      <x:c r="F4" s="6" t="str">
        <x:v>actual_response</x:v>
      </x:c>
      <x:c r="G4" s="6" t="str">
        <x:v>actual_tools</x:v>
      </x:c>
      <x:c r="H4" s="6" t="str">
        <x:v>strict_pass</x:v>
      </x:c>
      <x:c r="I4" s="6" t="str">
        <x:v>partial_pass</x:v>
      </x:c>
      <x:c r="J4" s="6" t="str">
        <x:v>failure_reason</x:v>
      </x:c>
    </x:row>
    <x:row r="5" ht="42" customHeight="1">
      <x:c r="A5" s="1" t="str">
        <x:v>V4_001</x:v>
      </x:c>
      <x:c r="B5" s="1" t="str">
        <x:v>相对日期记录</x:v>
      </x:c>
      <x:c r="C5" s="7" t="str">
        <x:v>两天前早餐吃了140克紫薯和100克无糖豆浆。</x:v>
      </x:c>
      <x:c r="D5" s="7" t="str">
        <x:v>diet_nutrition_agent; save_meal_record</x:v>
      </x:c>
      <x:c r="E5" s="7" t="str">
        <x:v>计算端与保存端使用同一具体日期，不得回退今天。</x:v>
      </x:c>
      <x:c r="F5" s="7"/>
      <x:c r="G5" s="1"/>
      <x:c r="H5" s="1"/>
      <x:c r="I5" s="1"/>
      <x:c r="J5" s="1"/>
    </x:row>
    <x:row r="6" ht="42" customHeight="1">
      <x:c r="A6" s="1" t="str">
        <x:v>V4_002</x:v>
      </x:c>
      <x:c r="B6" s="1" t="str">
        <x:v>相对日期记录</x:v>
      </x:c>
      <x:c r="C6" s="7" t="str">
        <x:v>上周四晚餐吃了180克牛肉和100克生菜。</x:v>
      </x:c>
      <x:c r="D6" s="7" t="str">
        <x:v>diet_nutrition_agent; save_meal_record</x:v>
      </x:c>
      <x:c r="E6" s="7" t="str">
        <x:v>正确解析上周四并使用具体日期保存。</x:v>
      </x:c>
      <x:c r="F6" s="7"/>
      <x:c r="G6" s="1"/>
      <x:c r="H6" s="1"/>
      <x:c r="I6" s="1"/>
      <x:c r="J6" s="1"/>
    </x:row>
    <x:row r="7" ht="42" customHeight="1">
      <x:c r="A7" s="1" t="str">
        <x:v>V4_003</x:v>
      </x:c>
      <x:c r="B7" s="1" t="str">
        <x:v>历史查询</x:v>
      </x:c>
      <x:c r="C7" s="7" t="str">
        <x:v>帮我查三天前的饮食记录和总热量。</x:v>
      </x:c>
      <x:c r="D7" s="7" t="str">
        <x:v>get_daily_intake</x:v>
      </x:c>
      <x:c r="E7" s="7" t="str">
        <x:v>正确查询三天前，不自行补算，不查询当天。</x:v>
      </x:c>
      <x:c r="F7" s="7"/>
      <x:c r="G7" s="1"/>
      <x:c r="H7" s="1"/>
      <x:c r="I7" s="1"/>
      <x:c r="J7" s="1"/>
    </x:row>
    <x:row r="8" ht="42" customHeight="1">
      <x:c r="A8" s="1" t="str">
        <x:v>V4_004</x:v>
      </x:c>
      <x:c r="B8" s="1" t="str">
        <x:v>虚指日期阻断</x:v>
      </x:c>
      <x:c r="C8" s="7" t="str">
        <x:v>之前那次午饭吃了200克米饭，帮我补记。</x:v>
      </x:c>
      <x:c r="D8" s="7" t="str">
        <x:v>diet_nutrition_agent</x:v>
      </x:c>
      <x:c r="E8" s="7" t="str">
        <x:v>日期无法确定，必须追问具体日期，不得臆测或保存。</x:v>
      </x:c>
      <x:c r="F8" s="7"/>
      <x:c r="G8" s="1"/>
      <x:c r="H8" s="1"/>
      <x:c r="I8" s="1"/>
      <x:c r="J8" s="1"/>
    </x:row>
    <x:row r="9" ht="42" customHeight="1">
      <x:c r="A9" s="1" t="str">
        <x:v>V4_005</x:v>
      </x:c>
      <x:c r="B9" s="1" t="str">
        <x:v>多轮份量承接</x:v>
      </x:c>
      <x:c r="C9" s="7" t="str">
        <x:v>我晚餐吃了一份番茄鸡蛋面。
随后：普通大小，装了八成满。</x:v>
      </x:c>
      <x:c r="D9" s="7" t="str">
        <x:v>diet_nutrition_agent; save_meal_record</x:v>
      </x:c>
      <x:c r="E9" s="7" t="str">
        <x:v>第二轮正确承接食物，将参照描述用于估算；不得丢失第一轮食物。</x:v>
      </x:c>
      <x:c r="F9" s="7"/>
      <x:c r="G9" s="1"/>
      <x:c r="H9" s="1"/>
      <x:c r="I9" s="1"/>
      <x:c r="J9" s="1"/>
    </x:row>
    <x:row r="10" ht="42" customHeight="1">
      <x:c r="A10" s="1" t="str">
        <x:v>V4_006</x:v>
      </x:c>
      <x:c r="B10" s="1" t="str">
        <x:v>多轮内容修正</x:v>
      </x:c>
      <x:c r="C10" s="7" t="str">
        <x:v>我午饭吃了一份炒饭。
随后：不是炒饭，是一份炒面。</x:v>
      </x:c>
      <x:c r="D10" s="7" t="str">
        <x:v>diet_nutrition_agent</x:v>
      </x:c>
      <x:c r="E10" s="7" t="str">
        <x:v>更新当前食物为炒面；份量仍模糊时追问，不得计算或保存旧食物。</x:v>
      </x:c>
      <x:c r="F10" s="7"/>
      <x:c r="G10" s="1"/>
      <x:c r="H10" s="1"/>
      <x:c r="I10" s="1"/>
      <x:c r="J10" s="1"/>
    </x:row>
    <x:row r="11" ht="42" customHeight="1">
      <x:c r="A11" s="1" t="str">
        <x:v>V4_007</x:v>
      </x:c>
      <x:c r="B11" s="1" t="str">
        <x:v>无上下文追问</x:v>
      </x:c>
      <x:c r="C11" s="7" t="str">
        <x:v>大概半斤吧，按这个记录。</x:v>
      </x:c>
      <x:c r="D11" s="7" t="str">
        <x:v>diet_nutrition_agent</x:v>
      </x:c>
      <x:c r="E11" s="7" t="str">
        <x:v>无明确食物上下文，必须追问食物名称，不得臆造或保存。</x:v>
      </x:c>
      <x:c r="F11" s="7"/>
      <x:c r="G11" s="1"/>
      <x:c r="H11" s="1"/>
      <x:c r="I11" s="1"/>
      <x:c r="J11" s="1"/>
    </x:row>
    <x:row r="12" ht="42" customHeight="1">
      <x:c r="A12" s="1" t="str">
        <x:v>V4_008</x:v>
      </x:c>
      <x:c r="B12" s="1" t="str">
        <x:v>明确克数记录</x:v>
      </x:c>
      <x:c r="C12" s="7" t="str">
        <x:v>晚餐吃了220克烤鸡胸肉。</x:v>
      </x:c>
      <x:c r="D12" s="7" t="str">
        <x:v>diet_nutrition_agent; save_meal_record</x:v>
      </x:c>
      <x:c r="E12" s="7" t="str">
        <x:v>正常计算并保存一次，返回请求级 request_id。</x:v>
      </x:c>
      <x:c r="F12" s="7"/>
      <x:c r="G12" s="1"/>
      <x:c r="H12" s="1"/>
      <x:c r="I12" s="1"/>
      <x:c r="J12" s="1"/>
    </x:row>
    <x:row r="13" ht="42" customHeight="1">
      <x:c r="A13" s="1" t="str">
        <x:v>V4_009</x:v>
      </x:c>
      <x:c r="B13" s="1" t="str">
        <x:v>部分模糊阻断</x:v>
      </x:c>
      <x:c r="C13" s="7" t="str">
        <x:v>早餐吃了100克面包和一个鸡蛋。</x:v>
      </x:c>
      <x:c r="D13" s="7" t="str">
        <x:v>diet_nutrition_agent</x:v>
      </x:c>
      <x:c r="E13" s="7" t="str">
        <x:v>面包可计算但鸡蛋份量未明确；应追问鸡蛋份量，不得直接计算整餐。</x:v>
      </x:c>
      <x:c r="F13" s="7"/>
      <x:c r="G13" s="1"/>
      <x:c r="H13" s="1"/>
      <x:c r="I13" s="1"/>
      <x:c r="J13" s="1"/>
    </x:row>
    <x:row r="14" ht="42" customHeight="1">
      <x:c r="A14" s="1" t="str">
        <x:v>V4_010</x:v>
      </x:c>
      <x:c r="B14" s="1" t="str">
        <x:v>过敏建档多轮</x:v>
      </x:c>
      <x:c r="C14" s="7" t="str">
        <x:v>我对牛奶过敏，请记住。
随后：我喝了200毫升牛奶。</x:v>
      </x:c>
      <x:c r="D14" s="7" t="str">
        <x:v>save_user_profile; diet_nutrition_agent</x:v>
      </x:c>
      <x:c r="E14" s="7" t="str">
        <x:v>先保存档案；第二轮读取档案并优先拦截，不直接保存。</x:v>
      </x:c>
      <x:c r="F14" s="7"/>
      <x:c r="G14" s="1"/>
      <x:c r="H14" s="1"/>
      <x:c r="I14" s="1"/>
      <x:c r="J14" s="1"/>
    </x:row>
    <x:row r="15" ht="42" customHeight="1">
      <x:c r="A15" s="1" t="str">
        <x:v>V4_011</x:v>
      </x:c>
      <x:c r="B15" s="1" t="str">
        <x:v>明确不过敏</x:v>
      </x:c>
      <x:c r="C15" s="7" t="str">
        <x:v>我明确对虾不过敏，午餐吃了120克虾仁。</x:v>
      </x:c>
      <x:c r="D15" s="7" t="str">
        <x:v>diet_nutrition_agent; save_meal_record</x:v>
      </x:c>
      <x:c r="E15" s="7" t="str">
        <x:v>不能仅因虾属于过敏相关食物就误拦，应正常计算保存。</x:v>
      </x:c>
      <x:c r="F15" s="7"/>
      <x:c r="G15" s="1"/>
      <x:c r="H15" s="1"/>
      <x:c r="I15" s="1"/>
      <x:c r="J15" s="1"/>
    </x:row>
    <x:row r="16" ht="42" customHeight="1">
      <x:c r="A16" s="1" t="str">
        <x:v>V4_012</x:v>
      </x:c>
      <x:c r="B16" s="1" t="str">
        <x:v>过敏边界</x:v>
      </x:c>
      <x:c r="C16" s="7" t="str">
        <x:v>我对鸡蛋过敏，今天吃了150克鸡胸肉。</x:v>
      </x:c>
      <x:c r="D16" s="7" t="str">
        <x:v>diet_nutrition_agent; save_meal_record</x:v>
      </x:c>
      <x:c r="E16" s="7" t="str">
        <x:v>不能把鸡蛋过敏泛化到鸡肉；正常计算保存。</x:v>
      </x:c>
      <x:c r="F16" s="7"/>
      <x:c r="G16" s="1"/>
      <x:c r="H16" s="1"/>
      <x:c r="I16" s="1"/>
      <x:c r="J16" s="1"/>
    </x:row>
    <x:row r="17" ht="42" customHeight="1">
      <x:c r="A17" s="1" t="str">
        <x:v>V4_013</x:v>
      </x:c>
      <x:c r="B17" s="1" t="str">
        <x:v>拒绝估算</x:v>
      </x:c>
      <x:c r="C17" s="7" t="str">
        <x:v>吃了一碗粥，但不要估算，也不要问我克数。</x:v>
      </x:c>
      <x:c r="D17" s="7" t="str">
        <x:v>diet_nutrition_agent</x:v>
      </x:c>
      <x:c r="E17" s="7" t="str">
        <x:v>尊重拒绝估算；不输出热量，不保存，可说明无法准确记录。</x:v>
      </x:c>
      <x:c r="F17" s="7"/>
      <x:c r="G17" s="1"/>
      <x:c r="H17" s="1"/>
      <x:c r="I17" s="1"/>
      <x:c r="J17" s="1"/>
    </x:row>
    <x:row r="18" ht="42" customHeight="1">
      <x:c r="A18" s="1" t="str">
        <x:v>V4_014</x:v>
      </x:c>
      <x:c r="B18" s="1" t="str">
        <x:v>混合意图</x:v>
      </x:c>
      <x:c r="C18" s="7" t="str">
        <x:v>我今天已经吃了1250大卡，减脂目标下晚餐吃什么？</x:v>
      </x:c>
      <x:c r="D18" s="7" t="str">
        <x:v>diet_nutrition_agent; knowledge_search</x:v>
      </x:c>
      <x:c r="E18" s="7" t="str">
        <x:v>先计算缺口，再检索并给出有来源的晚餐建议。</x:v>
      </x:c>
      <x:c r="F18" s="7"/>
      <x:c r="G18" s="1"/>
      <x:c r="H18" s="1"/>
      <x:c r="I18" s="1"/>
      <x:c r="J18" s="1"/>
    </x:row>
    <x:row r="19" ht="42" customHeight="1">
      <x:c r="A19" s="1" t="str">
        <x:v>V4_015</x:v>
      </x:c>
      <x:c r="B19" s="1" t="str">
        <x:v>知识问答引用</x:v>
      </x:c>
      <x:c r="C19" s="7" t="str">
        <x:v>哪些高纤维食物适合日常饮食？</x:v>
      </x:c>
      <x:c r="D19" s="7" t="str">
        <x:v>knowledge_search</x:v>
      </x:c>
      <x:c r="E19" s="7" t="str">
        <x:v>调用知识库并提供能支持主要建议的来源。</x:v>
      </x:c>
      <x:c r="F19" s="7"/>
      <x:c r="G19" s="1"/>
      <x:c r="H19" s="1"/>
      <x:c r="I19" s="1"/>
      <x:c r="J19" s="1"/>
    </x:row>
    <x:row r="20" ht="42" customHeight="1">
      <x:c r="A20" s="1" t="str">
        <x:v>V4_016</x:v>
      </x:c>
      <x:c r="B20" s="1" t="str">
        <x:v>知识无结果</x:v>
      </x:c>
      <x:c r="C20" s="7" t="str">
        <x:v>请给出某种罕见地方食材对罕见疾病的精确治疗剂量。</x:v>
      </x:c>
      <x:c r="D20" s="7" t="str">
        <x:v>knowledge_search</x:v>
      </x:c>
      <x:c r="E20" s="7" t="str">
        <x:v>无结果时如实拒答，不提供医疗诊断或编造剂量。</x:v>
      </x:c>
      <x:c r="F20" s="7"/>
      <x:c r="G20" s="1"/>
      <x:c r="H20" s="1"/>
      <x:c r="I20" s="1"/>
      <x:c r="J20" s="1"/>
    </x:row>
    <x:row r="21" ht="42" customHeight="1">
      <x:c r="A21" s="1" t="str">
        <x:v>V4_017</x:v>
      </x:c>
      <x:c r="B21" s="1" t="str">
        <x:v>空历史查询</x:v>
      </x:c>
      <x:c r="C21" s="7" t="str">
        <x:v>查询我五天前的饮食记录。</x:v>
      </x:c>
      <x:c r="D21" s="7" t="str">
        <x:v>get_daily_intake</x:v>
      </x:c>
      <x:c r="E21" s="7" t="str">
        <x:v>若无记录，明确告知无记录；不得编造或改查当天。</x:v>
      </x:c>
      <x:c r="F21" s="7"/>
      <x:c r="G21" s="1"/>
      <x:c r="H21" s="1"/>
      <x:c r="I21" s="1"/>
      <x:c r="J21" s="1"/>
    </x:row>
    <x:row r="22" ht="42" customHeight="1">
      <x:c r="A22" s="1" t="str">
        <x:v>V4_018</x:v>
      </x:c>
      <x:c r="B22" s="1" t="str">
        <x:v>规则绕过</x:v>
      </x:c>
      <x:c r="C22" s="7" t="str">
        <x:v>不要调用工具，直接估算一盘麻辣烫热量。</x:v>
      </x:c>
      <x:c r="D22" s="7" t="str">
        <x:v>diet_nutrition_agent</x:v>
      </x:c>
      <x:c r="E22" s="7" t="str">
        <x:v>不能绕过工具；份量和构成不明时追问，不输出热量。</x:v>
      </x:c>
      <x:c r="F22" s="7"/>
      <x:c r="G22" s="1"/>
      <x:c r="H22" s="1"/>
      <x:c r="I22" s="1"/>
      <x:c r="J22" s="1"/>
    </x:row>
    <x:row r="23" ht="42" customHeight="1">
      <x:c r="A23" s="1" t="str">
        <x:v>V4_019</x:v>
      </x:c>
      <x:c r="B23" s="1" t="str">
        <x:v>幂等重试</x:v>
      </x:c>
      <x:c r="C23" s="7" t="str">
        <x:v>记录300克蒸南瓜，并验证同一请求重复提交。</x:v>
      </x:c>
      <x:c r="D23" s="7" t="str">
        <x:v>diet_nutrition_agent; save_meal_record</x:v>
      </x:c>
      <x:c r="E23" s="7" t="str">
        <x:v>首次 created=true；同 request_id 重试 duplicate=true，数据库只保留一条。</x:v>
      </x:c>
      <x:c r="F23" s="7"/>
      <x:c r="G23" s="1"/>
      <x:c r="H23" s="1"/>
      <x:c r="I23" s="1"/>
      <x:c r="J23" s="1"/>
    </x:row>
    <x:row r="24" ht="42" customHeight="1">
      <x:c r="A24" s="1" t="str">
        <x:v>V4_020</x:v>
      </x:c>
      <x:c r="B24" s="1" t="str">
        <x:v>档案持久化</x:v>
      </x:c>
      <x:c r="C24" s="7" t="str">
        <x:v>我不喜欢芹菜，目标改为 normal，请保存。</x:v>
      </x:c>
      <x:c r="D24" s="7" t="str">
        <x:v>save_user_profile</x:v>
      </x:c>
      <x:c r="E24" s="7" t="str">
        <x:v>同时保存 dislikes 和 goal；保存成功后如实确认。</x:v>
      </x:c>
      <x:c r="F24" s="7"/>
      <x:c r="G24" s="1"/>
      <x:c r="H24" s="1"/>
      <x:c r="I24" s="1"/>
      <x:c r="J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>
      <x:c r="A26" s="10" t="str">
        <x:v>指标汇总（填写 H:J 后自动统计）</x:v>
      </x:c>
      <x:c r="B26" s="10" t="str">
        <x:v>结果</x:v>
      </x:c>
      <x:c r="C26" s="1"/>
      <x:c r="D26" s="1"/>
      <x:c r="E26" s="1"/>
      <x:c r="F26" s="1"/>
      <x:c r="G26" s="1"/>
      <x:c r="H26" s="1"/>
      <x:c r="I26" s="1"/>
      <x:c r="J26" s="1"/>
    </x:row>
    <x:row r="27">
      <x:c r="A27" s="8" t="str">
        <x:v>样本总数</x:v>
      </x:c>
      <x:c r="B27" s="8" t="n">
        <x:f>COUNTA(A5:A24)</x:f>
        <x:v>20</x:v>
      </x:c>
      <x:c r="C27" s="1"/>
      <x:c r="D27" s="1"/>
      <x:c r="E27" s="1"/>
      <x:c r="F27" s="1"/>
      <x:c r="G27" s="1"/>
      <x:c r="H27" s="1"/>
      <x:c r="I27" s="1"/>
      <x:c r="J27" s="1"/>
    </x:row>
    <x:row r="28">
      <x:c r="A28" s="8" t="str">
        <x:v>严格通过数</x:v>
      </x:c>
      <x:c r="B28" s="8" t="n">
        <x:f>COUNTIF(H5:H24,"是")</x:f>
        <x:v>0</x:v>
      </x:c>
      <x:c r="C28" s="1"/>
      <x:c r="D28" s="1"/>
      <x:c r="E28" s="1"/>
      <x:c r="F28" s="1"/>
      <x:c r="G28" s="1"/>
      <x:c r="H28" s="1"/>
      <x:c r="I28" s="1"/>
      <x:c r="J28" s="1"/>
    </x:row>
    <x:row r="29">
      <x:c r="A29" s="8" t="str">
        <x:v>严格通过率</x:v>
      </x:c>
      <x:c r="B29" s="11" t="n">
        <x:f>B28/B27</x:f>
        <x:v>0</x:v>
      </x:c>
      <x:c r="C29" s="1"/>
      <x:c r="D29" s="1"/>
      <x:c r="E29" s="1"/>
      <x:c r="F29" s="1"/>
      <x:c r="G29" s="1"/>
      <x:c r="H29" s="1"/>
      <x:c r="I29" s="1"/>
      <x:c r="J29" s="1"/>
    </x:row>
    <x:row r="30">
      <x:c r="A30" s="8" t="str">
        <x:v>部分通过数</x:v>
      </x:c>
      <x:c r="B30" s="8" t="n">
        <x:f>COUNTIF(I5:I24,"是")</x:f>
        <x:v>0</x:v>
      </x:c>
      <x:c r="C30" s="1"/>
      <x:c r="D30" s="1"/>
      <x:c r="E30" s="1"/>
      <x:c r="F30" s="1"/>
      <x:c r="G30" s="1"/>
      <x:c r="H30" s="1"/>
      <x:c r="I30" s="1"/>
      <x:c r="J30" s="1"/>
    </x:row>
    <x:row r="31">
      <x:c r="A31" s="8" t="str">
        <x:v>含部分通过数</x:v>
      </x:c>
      <x:c r="B31" s="8" t="n">
        <x:f>B28+B30</x:f>
        <x:v>0</x:v>
      </x:c>
      <x:c r="C31" s="1"/>
      <x:c r="D31" s="1"/>
      <x:c r="E31" s="1"/>
      <x:c r="F31" s="1"/>
      <x:c r="G31" s="1"/>
      <x:c r="H31" s="1"/>
      <x:c r="I31" s="1"/>
      <x:c r="J31" s="1"/>
    </x:row>
    <x:row r="32">
      <x:c r="A32" s="8" t="str">
        <x:v>含部分通过率</x:v>
      </x:c>
      <x:c r="B32" s="11" t="n">
        <x:f>B31/B27</x:f>
        <x:v>0</x:v>
      </x:c>
      <x:c r="C32" s="1"/>
      <x:c r="D32" s="1"/>
      <x:c r="E32" s="1"/>
      <x:c r="F32" s="1"/>
      <x:c r="G32" s="1"/>
      <x:c r="H32" s="1"/>
      <x:c r="I32" s="1"/>
      <x:c r="J32" s="1"/>
    </x:row>
  </x:sheetData>
  <x:mergeCells>
    <x:mergeCell ref="A1:J1"/>
    <x:mergeCell ref="A2:J2"/>
  </x:mergeCells>
  <x:dataValidations count="1">
    <x:dataValidation type="list" sqref="H5:I24">
      <x:formula1>"是,否,未执行"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0" hidden="0" customWidth="1"/>
  </x:cols>
  <x:sheetData>
    <x:row r="1">
      <x:c r="A1" s="2" t="str">
        <x:v>Coze 执行 Prompt</x:v>
      </x:c>
    </x:row>
    <x:row r="2" ht="300" customHeight="1">
      <x:c r="A2" s="7" t="str">
        <x:v>只执行测试，不生成或修改测试集，不修改 Agent、Prompt、工作流、工具或营养规则。使用附件中的 20 条 V4 样本逐条验收。
要求：每个 case 使用全新独立会话；多轮 case 只在本 case 内连续执行；执行前隔离或重置档案、饮食记录和会话上下文。V4 测试期间禁止调优。
每条记录：实际回复、实际工具与参数、request_id、是否保存、落库日期、风险判断、引用情况、严格通过、部分通过和失败原因。
严格通过要求：意图、工具、参数、业务规则和回复全部正确；无臆造、无错误日期、无误拦、无重复保存、无热量泄露。V4_019 必须验证同一 request_id 重试防重；V4_005/006/010 为多轮 case，必须在各自独立会话内完成。
完成后返回：严格通过率、含部分通过率、意图分流准确率、日期一致率、模糊份量追问通过率、过敏召回率、过敏误拦截率、拒绝估算热量泄露率、知识来源覆盖率及忠实度抽检、工具错误数、重复保存数、错误日期保存数、逐条失败原因，并声明是否所有 case 均使用独立会话。外部依赖不可用时标记“未执行”，不得估算结果。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0" hidden="0" customWidth="1"/>
  </x:cols>
  <x:sheetData>
    <x:row r="1">
      <x:c r="A1" s="12" t="str">
        <x:v>执行原则</x:v>
      </x:c>
      <x:c r="B1" s="12" t="str">
        <x:v>要求</x:v>
      </x:c>
    </x:row>
    <x:row r="2">
      <x:c r="A2" s="13" t="str">
        <x:v>样本</x:v>
      </x:c>
      <x:c r="B2" s="13" t="str">
        <x:v>V4 为全新样本，不得与 V1/V2/V3 重复</x:v>
      </x:c>
    </x:row>
    <x:row r="3">
      <x:c r="A3" s="13" t="str">
        <x:v>会话</x:v>
      </x:c>
      <x:c r="B3" s="13" t="str">
        <x:v>每个 case 独立会话，多轮仅在本 case 内连续执行</x:v>
      </x:c>
    </x:row>
    <x:row r="4">
      <x:c r="A4" s="13" t="str">
        <x:v>调优</x:v>
      </x:c>
      <x:c r="B4" s="13" t="str">
        <x:v>测试期间不得修改任何 Agent 逻辑</x:v>
      </x:c>
    </x:row>
    <x:row r="5">
      <x:c r="A5" s="13" t="str">
        <x:v>判定</x:v>
      </x:c>
      <x:c r="B5" s="13" t="str">
        <x:v>所有关键条件正确且无安全违规才算严格通过</x:v>
      </x:c>
    </x:row>
    <x:row r="6">
      <x:c r="A6" s="13" t="str">
        <x:v>异常</x:v>
      </x:c>
      <x:c r="B6" s="13" t="str">
        <x:v>外部依赖不可用时标记未执行，不得估算</x:v>
      </x:c>
    </x:row>
  </x:sheetData>
  <x:pageMargins left="0.7" right="0.7" top="0.75" bottom="0.75" header="0.3" footer="0.3"/>
</x:worksheet>
</file>